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</cols>
  <sheetData>
    <row r="1">
      <c r="A1" s="1" t="inlineStr">
        <is>
          <t>Section</t>
        </is>
      </c>
      <c r="B1" s="1" t="inlineStr">
        <is>
          <t>Total $</t>
        </is>
      </c>
      <c r="C1" s="1" t="inlineStr">
        <is>
          <t>of which estimated $</t>
        </is>
      </c>
    </row>
    <row r="2">
      <c r="A2" t="inlineStr">
        <is>
          <t>Chips</t>
        </is>
      </c>
      <c r="B2" s="2">
        <f>SUMIF(Cost!A2:A55,A2,Cost!F2:F55)</f>
        <v/>
      </c>
      <c r="C2" s="2">
        <f>SUMIFS(Cost!F2:F55,Cost!A2:A55,A2,Cost!H2:H55,"estimate")</f>
        <v/>
      </c>
    </row>
    <row r="3">
      <c r="A3" t="inlineStr">
        <is>
          <t>Controls</t>
        </is>
      </c>
      <c r="B3" s="2">
        <f>SUMIF(Cost!A2:A55,A3,Cost!F2:F55)</f>
        <v/>
      </c>
      <c r="C3" s="2">
        <f>SUMIFS(Cost!F2:F55,Cost!A2:A55,A3,Cost!H2:H55,"estimate")</f>
        <v/>
      </c>
    </row>
    <row r="4">
      <c r="A4" t="inlineStr">
        <is>
          <t>Connectors</t>
        </is>
      </c>
      <c r="B4" s="2">
        <f>SUMIF(Cost!A2:A55,A4,Cost!F2:F55)</f>
        <v/>
      </c>
      <c r="C4" s="2">
        <f>SUMIFS(Cost!F2:F55,Cost!A2:A55,A4,Cost!H2:H55,"estimate")</f>
        <v/>
      </c>
    </row>
    <row r="5">
      <c r="A5" t="inlineStr">
        <is>
          <t>Passives</t>
        </is>
      </c>
      <c r="B5" s="2">
        <f>SUMIF(Cost!A2:A55,A5,Cost!F2:F55)</f>
        <v/>
      </c>
      <c r="C5" s="2">
        <f>SUMIFS(Cost!F2:F55,Cost!A2:A55,A5,Cost!H2:H55,"estimate")</f>
        <v/>
      </c>
    </row>
    <row r="6">
      <c r="A6" t="inlineStr">
        <is>
          <t>Power</t>
        </is>
      </c>
      <c r="B6" s="2">
        <f>SUMIF(Cost!A2:A55,A6,Cost!F2:F55)</f>
        <v/>
      </c>
      <c r="C6" s="2">
        <f>SUMIFS(Cost!F2:F55,Cost!A2:A55,A6,Cost!H2:H55,"estimate")</f>
        <v/>
      </c>
    </row>
    <row r="7">
      <c r="A7" t="inlineStr">
        <is>
          <t>Modules</t>
        </is>
      </c>
      <c r="B7" s="2">
        <f>SUMIF(Cost!A2:A55,A7,Cost!F2:F55)</f>
        <v/>
      </c>
      <c r="C7" s="2">
        <f>SUMIFS(Cost!F2:F55,Cost!A2:A55,A7,Cost!H2:H55,"estimate")</f>
        <v/>
      </c>
    </row>
    <row r="8">
      <c r="A8" t="inlineStr">
        <is>
          <t>PCBs</t>
        </is>
      </c>
      <c r="B8" s="2">
        <f>SUMIF(Cost!A2:A55,A8,Cost!F2:F55)</f>
        <v/>
      </c>
      <c r="C8" s="2">
        <f>SUMIFS(Cost!F2:F55,Cost!A2:A55,A8,Cost!H2:H55,"estimate")</f>
        <v/>
      </c>
    </row>
    <row r="9">
      <c r="A9" t="inlineStr">
        <is>
          <t>Case</t>
        </is>
      </c>
      <c r="B9" s="2">
        <f>SUMIF(Cost!A2:A55,A9,Cost!F2:F55)</f>
        <v/>
      </c>
      <c r="C9" s="2">
        <f>SUMIFS(Cost!F2:F55,Cost!A2:A55,A9,Cost!H2:H55,"estimate")</f>
        <v/>
      </c>
    </row>
    <row r="10">
      <c r="A10" t="inlineStr">
        <is>
          <t>Knobs</t>
        </is>
      </c>
      <c r="B10" s="2">
        <f>SUMIF(Cost!A2:A55,A10,Cost!F2:F55)</f>
        <v/>
      </c>
      <c r="C10" s="2">
        <f>SUMIFS(Cost!F2:F55,Cost!A2:A55,A10,Cost!H2:H55,"estimate")</f>
        <v/>
      </c>
    </row>
    <row r="11">
      <c r="A11" t="inlineStr">
        <is>
          <t>Controller</t>
        </is>
      </c>
      <c r="B11" s="2">
        <f>SUMIF(Cost!A2:A55,A11,Cost!F2:F55)</f>
        <v/>
      </c>
      <c r="C11" s="2">
        <f>SUMIFS(Cost!F2:F55,Cost!A2:A55,A11,Cost!H2:H55,"estimate")</f>
        <v/>
      </c>
    </row>
    <row r="12">
      <c r="A12" t="inlineStr">
        <is>
          <t>Shipping</t>
        </is>
      </c>
      <c r="B12" s="2">
        <f>SUMIF(Cost!A2:A55,A12,Cost!F2:F55)</f>
        <v/>
      </c>
      <c r="C12" s="2">
        <f>SUMIFS(Cost!F2:F55,Cost!A2:A55,A12,Cost!H2:H55,"estimate")</f>
        <v/>
      </c>
    </row>
    <row r="13">
      <c r="A13" s="1" t="inlineStr">
        <is>
          <t>TOTAL</t>
        </is>
      </c>
      <c r="B13" s="3">
        <f>SUM(B2:B12)</f>
        <v/>
      </c>
      <c r="C13" s="3">
        <f>SUM(C2:C12)</f>
        <v/>
      </c>
    </row>
    <row r="14">
      <c r="B14" s="2" t="n"/>
      <c r="C14" s="2" t="n"/>
    </row>
    <row r="15">
      <c r="A15" t="inlineStr">
        <is>
          <t>Budget target (standard tier)</t>
        </is>
      </c>
      <c r="B15" s="2" t="n">
        <v>300</v>
      </c>
      <c r="C15" s="2" t="n"/>
    </row>
    <row r="16">
      <c r="A16" t="inlineStr">
        <is>
          <t>Over budget</t>
        </is>
      </c>
      <c r="B16" s="2">
        <f>B13-B15</f>
        <v/>
      </c>
      <c r="C16" s="2" t="n"/>
    </row>
    <row r="18">
      <c r="A18" s="4" t="inlineStr">
        <is>
          <t>Yellow rows on the Cost sheet are estimates; white rows are prices read on 2026-10-27; green rows Omer already owns.</t>
        </is>
      </c>
    </row>
    <row r="19">
      <c r="A19" t="inlineStr">
        <is>
          <t>Not included: sales tax, solder/tools, spares, the optional 24LC32A EEPROM.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6" customWidth="1" min="4" max="4"/>
    <col width="9" customWidth="1" min="5" max="5"/>
    <col width="10" customWidth="1" min="6" max="6"/>
    <col width="16" customWidth="1" min="7" max="7"/>
    <col width="10" customWidth="1" min="8" max="8"/>
  </cols>
  <sheetData>
    <row r="1">
      <c r="A1" s="5" t="inlineStr">
        <is>
          <t>Section</t>
        </is>
      </c>
      <c r="B1" s="5" t="inlineStr">
        <is>
          <t>Item</t>
        </is>
      </c>
      <c r="C1" s="5" t="inlineStr">
        <is>
          <t>Part / note</t>
        </is>
      </c>
      <c r="D1" s="5" t="inlineStr">
        <is>
          <t>Qty</t>
        </is>
      </c>
      <c r="E1" s="5" t="inlineStr">
        <is>
          <t>Unit $</t>
        </is>
      </c>
      <c r="F1" s="5" t="inlineStr">
        <is>
          <t>Total $</t>
        </is>
      </c>
      <c r="G1" s="5" t="inlineStr">
        <is>
          <t>Where</t>
        </is>
      </c>
      <c r="H1" s="5" t="inlineStr">
        <is>
          <t>Price</t>
        </is>
      </c>
    </row>
    <row r="2">
      <c r="A2" t="inlineStr">
        <is>
          <t>Chips</t>
        </is>
      </c>
      <c r="B2" t="inlineStr">
        <is>
          <t>Mic preamp</t>
        </is>
      </c>
      <c r="C2" t="inlineStr">
        <is>
          <t>THAT1512P08-U (4 strips)</t>
        </is>
      </c>
      <c r="D2" t="n">
        <v>4</v>
      </c>
      <c r="E2" s="6" t="n">
        <v>5.84</v>
      </c>
      <c r="F2" s="6">
        <f>D2*E2</f>
        <v/>
      </c>
      <c r="G2" t="inlineStr">
        <is>
          <t>Mouser</t>
        </is>
      </c>
      <c r="H2" t="inlineStr">
        <is>
          <t>live</t>
        </is>
      </c>
    </row>
    <row r="3">
      <c r="A3" s="7" t="inlineStr">
        <is>
          <t>Chips</t>
        </is>
      </c>
      <c r="B3" s="7" t="inlineStr">
        <is>
          <t>Op-amps</t>
        </is>
      </c>
      <c r="C3" s="7" t="inlineStr">
        <is>
          <t>NE5532P (12 strips + 4 master + 8 stereo)</t>
        </is>
      </c>
      <c r="D3" s="7" t="n">
        <v>24</v>
      </c>
      <c r="E3" s="8" t="n">
        <v>0.55</v>
      </c>
      <c r="F3" s="8">
        <f>D3*E3</f>
        <v/>
      </c>
      <c r="G3" s="7" t="inlineStr">
        <is>
          <t>Tayda</t>
        </is>
      </c>
      <c r="H3" s="7" t="inlineStr">
        <is>
          <t>estimate</t>
        </is>
      </c>
    </row>
    <row r="4">
      <c r="A4" s="7" t="inlineStr">
        <is>
          <t>Chips</t>
        </is>
      </c>
      <c r="B4" s="7" t="inlineStr">
        <is>
          <t>Comparators</t>
        </is>
      </c>
      <c r="C4" s="7" t="inlineStr">
        <is>
          <t>LM393 (4 strips + 4 stereo)</t>
        </is>
      </c>
      <c r="D4" s="7" t="n">
        <v>8</v>
      </c>
      <c r="E4" s="8" t="n">
        <v>0.35</v>
      </c>
      <c r="F4" s="8">
        <f>D4*E4</f>
        <v/>
      </c>
      <c r="G4" s="7" t="inlineStr">
        <is>
          <t>Tayda</t>
        </is>
      </c>
      <c r="H4" s="7" t="inlineStr">
        <is>
          <t>estimate</t>
        </is>
      </c>
    </row>
    <row r="5">
      <c r="A5" s="7" t="inlineStr">
        <is>
          <t>Chips</t>
        </is>
      </c>
      <c r="B5" s="7" t="inlineStr">
        <is>
          <t>Peak op-amp</t>
        </is>
      </c>
      <c r="C5" s="7" t="inlineStr">
        <is>
          <t>TL072CP (master)</t>
        </is>
      </c>
      <c r="D5" s="7" t="n">
        <v>1</v>
      </c>
      <c r="E5" s="8" t="n">
        <v>0.6</v>
      </c>
      <c r="F5" s="8">
        <f>D5*E5</f>
        <v/>
      </c>
      <c r="G5" s="7" t="inlineStr">
        <is>
          <t>Tayda</t>
        </is>
      </c>
      <c r="H5" s="7" t="inlineStr">
        <is>
          <t>estimate</t>
        </is>
      </c>
    </row>
    <row r="6">
      <c r="A6" s="7" t="inlineStr">
        <is>
          <t>Chips</t>
        </is>
      </c>
      <c r="B6" s="7" t="inlineStr">
        <is>
          <t>Balanced line drivers</t>
        </is>
      </c>
      <c r="C6" s="7" t="inlineStr">
        <is>
          <t>TI DRV134PA (master)</t>
        </is>
      </c>
      <c r="D6" s="7" t="n">
        <v>2</v>
      </c>
      <c r="E6" s="8" t="n">
        <v>6.5</v>
      </c>
      <c r="F6" s="8">
        <f>D6*E6</f>
        <v/>
      </c>
      <c r="G6" s="7" t="inlineStr">
        <is>
          <t>Mouser</t>
        </is>
      </c>
      <c r="H6" s="7" t="inlineStr">
        <is>
          <t>estimate</t>
        </is>
      </c>
    </row>
    <row r="7">
      <c r="A7" t="inlineStr">
        <is>
          <t>Chips</t>
        </is>
      </c>
      <c r="B7" t="inlineStr">
        <is>
          <t>Headphone amp</t>
        </is>
      </c>
      <c r="C7" t="inlineStr">
        <is>
          <t>NJM4556AD (master)</t>
        </is>
      </c>
      <c r="D7" t="n">
        <v>1</v>
      </c>
      <c r="E7" s="6" t="n">
        <v>1.52</v>
      </c>
      <c r="F7" s="6">
        <f>D7*E7</f>
        <v/>
      </c>
      <c r="G7" t="inlineStr">
        <is>
          <t>DigiKey</t>
        </is>
      </c>
      <c r="H7" t="inlineStr">
        <is>
          <t>live</t>
        </is>
      </c>
    </row>
    <row r="8">
      <c r="A8" s="7" t="inlineStr">
        <is>
          <t>Chips</t>
        </is>
      </c>
      <c r="B8" s="7" t="inlineStr">
        <is>
          <t>Meter drivers</t>
        </is>
      </c>
      <c r="C8" s="7" t="inlineStr">
        <is>
          <t>LM3915N-1 or NTE1509 (master)</t>
        </is>
      </c>
      <c r="D8" s="7" t="n">
        <v>2</v>
      </c>
      <c r="E8" s="8" t="n">
        <v>7</v>
      </c>
      <c r="F8" s="8">
        <f>D8*E8</f>
        <v/>
      </c>
      <c r="G8" s="7" t="inlineStr">
        <is>
          <t>Jameco / Mouser</t>
        </is>
      </c>
      <c r="H8" s="7" t="inlineStr">
        <is>
          <t>estimate</t>
        </is>
      </c>
    </row>
    <row r="9">
      <c r="A9" s="7" t="inlineStr">
        <is>
          <t>Chips</t>
        </is>
      </c>
      <c r="B9" s="7" t="inlineStr">
        <is>
          <t>MIDI opto, reverb LDO + op-amp</t>
        </is>
      </c>
      <c r="C9" s="7" t="inlineStr">
        <is>
          <t>6N138, MCP1700-3302E, MCP6002-I/P</t>
        </is>
      </c>
      <c r="D9" s="7" t="n">
        <v>1</v>
      </c>
      <c r="E9" s="8" t="n">
        <v>2</v>
      </c>
      <c r="F9" s="8">
        <f>D9*E9</f>
        <v/>
      </c>
      <c r="G9" s="7" t="inlineStr">
        <is>
          <t>DigiKey</t>
        </is>
      </c>
      <c r="H9" s="7" t="inlineStr">
        <is>
          <t>estimate</t>
        </is>
      </c>
    </row>
    <row r="10">
      <c r="A10" s="7" t="inlineStr">
        <is>
          <t>Chips</t>
        </is>
      </c>
      <c r="B10" s="7" t="inlineStr">
        <is>
          <t>IC sockets</t>
        </is>
      </c>
      <c r="C10" s="7" t="inlineStr">
        <is>
          <t>43x DIP-8 + 2x DIP-18</t>
        </is>
      </c>
      <c r="D10" s="7" t="n">
        <v>1</v>
      </c>
      <c r="E10" s="8" t="n">
        <v>3.5</v>
      </c>
      <c r="F10" s="8">
        <f>D10*E10</f>
        <v/>
      </c>
      <c r="G10" s="7" t="inlineStr">
        <is>
          <t>Tayda</t>
        </is>
      </c>
      <c r="H10" s="7" t="inlineStr">
        <is>
          <t>estimate</t>
        </is>
      </c>
    </row>
    <row r="11">
      <c r="A11" t="inlineStr">
        <is>
          <t>Controls</t>
        </is>
      </c>
      <c r="B11" t="inlineStr">
        <is>
          <t>Fader, mono strips</t>
        </is>
      </c>
      <c r="C11" t="inlineStr">
        <is>
          <t>Bourns PTA6043-2015DPA103 60 mm</t>
        </is>
      </c>
      <c r="D11" t="n">
        <v>4</v>
      </c>
      <c r="E11" s="6" t="n">
        <v>2.37</v>
      </c>
      <c r="F11" s="6">
        <f>D11*E11</f>
        <v/>
      </c>
      <c r="G11" t="inlineStr">
        <is>
          <t>DigiKey</t>
        </is>
      </c>
      <c r="H11" t="inlineStr">
        <is>
          <t>live</t>
        </is>
      </c>
    </row>
    <row r="12">
      <c r="A12" s="7" t="inlineStr">
        <is>
          <t>Controls</t>
        </is>
      </c>
      <c r="B12" s="7" t="inlineStr">
        <is>
          <t>Fader, dual (master + 2 stereo)</t>
        </is>
      </c>
      <c r="C12" s="7" t="inlineStr">
        <is>
          <t>Bourns PTA6044-2015DPA103 (DigiKey: 2000 MOQ, buy at Mouser/Utmel)</t>
        </is>
      </c>
      <c r="D12" s="7" t="n">
        <v>3</v>
      </c>
      <c r="E12" s="8" t="n">
        <v>2.7</v>
      </c>
      <c r="F12" s="8">
        <f>D12*E12</f>
        <v/>
      </c>
      <c r="G12" s="7" t="inlineStr">
        <is>
          <t>Mouser / Utmel</t>
        </is>
      </c>
      <c r="H12" s="7" t="inlineStr">
        <is>
          <t>estimate</t>
        </is>
      </c>
    </row>
    <row r="13">
      <c r="A13" t="inlineStr">
        <is>
          <t>Controls</t>
        </is>
      </c>
      <c r="B13" t="inlineStr">
        <is>
          <t>Pot A10K single</t>
        </is>
      </c>
      <c r="C13" t="inlineStr">
        <is>
          <t>Alpha RD901F-40-15R1-A10K (Tayda A-1856)</t>
        </is>
      </c>
      <c r="D13" t="n">
        <v>14</v>
      </c>
      <c r="E13" s="6" t="n">
        <v>1.29</v>
      </c>
      <c r="F13" s="6">
        <f>D13*E13</f>
        <v/>
      </c>
      <c r="G13" t="inlineStr">
        <is>
          <t>Tayda</t>
        </is>
      </c>
      <c r="H13" t="inlineStr">
        <is>
          <t>live</t>
        </is>
      </c>
    </row>
    <row r="14">
      <c r="A14" s="7" t="inlineStr">
        <is>
          <t>Controls</t>
        </is>
      </c>
      <c r="B14" s="7" t="inlineStr">
        <is>
          <t>Pot C10K gain</t>
        </is>
      </c>
      <c r="C14" s="7" t="inlineStr">
        <is>
          <t>Alpha RD901F-40-15R1-C10K</t>
        </is>
      </c>
      <c r="D14" s="7" t="n">
        <v>4</v>
      </c>
      <c r="E14" s="8" t="n">
        <v>1.29</v>
      </c>
      <c r="F14" s="8">
        <f>D14*E14</f>
        <v/>
      </c>
      <c r="G14" s="7" t="inlineStr">
        <is>
          <t>Tayda</t>
        </is>
      </c>
      <c r="H14" s="7" t="inlineStr">
        <is>
          <t>estimate</t>
        </is>
      </c>
    </row>
    <row r="15">
      <c r="A15" s="7" t="inlineStr">
        <is>
          <t>Controls</t>
        </is>
      </c>
      <c r="B15" s="7" t="inlineStr">
        <is>
          <t>Pot B10K centre detent</t>
        </is>
      </c>
      <c r="C15" s="7" t="inlineStr">
        <is>
          <t>Alpha RD901F-40-15R1-B10K-0CD (Tayda A-8401)</t>
        </is>
      </c>
      <c r="D15" s="7" t="n">
        <v>18</v>
      </c>
      <c r="E15" s="8" t="n">
        <v>1.4</v>
      </c>
      <c r="F15" s="8">
        <f>D15*E15</f>
        <v/>
      </c>
      <c r="G15" s="7" t="inlineStr">
        <is>
          <t>Tayda</t>
        </is>
      </c>
      <c r="H15" s="7" t="inlineStr">
        <is>
          <t>estimate</t>
        </is>
      </c>
    </row>
    <row r="16">
      <c r="A16" s="7" t="inlineStr">
        <is>
          <t>Controls</t>
        </is>
      </c>
      <c r="B16" s="7" t="inlineStr">
        <is>
          <t>Pot dual (phones A10K, stereo EQ B10K)</t>
        </is>
      </c>
      <c r="C16" s="7" t="inlineStr">
        <is>
          <t>Alpha RD902F (Tayda A-6980 / A-6433)</t>
        </is>
      </c>
      <c r="D16" s="7" t="n">
        <v>5</v>
      </c>
      <c r="E16" s="8" t="n">
        <v>2.2</v>
      </c>
      <c r="F16" s="8">
        <f>D16*E16</f>
        <v/>
      </c>
      <c r="G16" s="7" t="inlineStr">
        <is>
          <t>Tayda</t>
        </is>
      </c>
      <c r="H16" s="7" t="inlineStr">
        <is>
          <t>estimate</t>
        </is>
      </c>
    </row>
    <row r="17">
      <c r="A17" t="inlineStr">
        <is>
          <t>Controls</t>
        </is>
      </c>
      <c r="B17" t="inlineStr">
        <is>
          <t>Latching switches</t>
        </is>
      </c>
      <c r="C17" t="inlineStr">
        <is>
          <t>C&amp;K PVA2 EE H1 1.7N V2 (12 strip + 1 master)</t>
        </is>
      </c>
      <c r="D17" t="n">
        <v>13</v>
      </c>
      <c r="E17" s="6" t="n">
        <v>2.424</v>
      </c>
      <c r="F17" s="6">
        <f>D17*E17</f>
        <v/>
      </c>
      <c r="G17" t="inlineStr">
        <is>
          <t>DigiKey</t>
        </is>
      </c>
      <c r="H17" t="inlineStr">
        <is>
          <t>live</t>
        </is>
      </c>
    </row>
    <row r="18">
      <c r="A18" s="7" t="inlineStr">
        <is>
          <t>Controls</t>
        </is>
      </c>
      <c r="B18" s="7" t="inlineStr">
        <is>
          <t>Switch caps</t>
        </is>
      </c>
      <c r="C18" s="7" t="inlineStr">
        <is>
          <t>C&amp;K PVA push caps</t>
        </is>
      </c>
      <c r="D18" s="7" t="n">
        <v>13</v>
      </c>
      <c r="E18" s="8" t="n">
        <v>0.6</v>
      </c>
      <c r="F18" s="8">
        <f>D18*E18</f>
        <v/>
      </c>
      <c r="G18" s="7" t="inlineStr">
        <is>
          <t>DigiKey</t>
        </is>
      </c>
      <c r="H18" s="7" t="inlineStr">
        <is>
          <t>estimate</t>
        </is>
      </c>
    </row>
    <row r="19">
      <c r="A19" s="7" t="inlineStr">
        <is>
          <t>Controls</t>
        </is>
      </c>
      <c r="B19" s="7" t="inlineStr">
        <is>
          <t>Reverb trimmers</t>
        </is>
      </c>
      <c r="C19" s="7" t="inlineStr">
        <is>
          <t>Bourns 3296W 10k x4, 20k x1</t>
        </is>
      </c>
      <c r="D19" s="7" t="n">
        <v>5</v>
      </c>
      <c r="E19" s="8" t="n">
        <v>1.5</v>
      </c>
      <c r="F19" s="8">
        <f>D19*E19</f>
        <v/>
      </c>
      <c r="G19" s="7" t="inlineStr">
        <is>
          <t>DigiKey</t>
        </is>
      </c>
      <c r="H19" s="7" t="inlineStr">
        <is>
          <t>estimate</t>
        </is>
      </c>
    </row>
    <row r="20">
      <c r="A20" s="7" t="inlineStr">
        <is>
          <t>Connectors</t>
        </is>
      </c>
      <c r="B20" s="7" t="inlineStr">
        <is>
          <t>Mic combo jacks</t>
        </is>
      </c>
      <c r="C20" s="7" t="inlineStr">
        <is>
          <t>Neutrik NCJ6FA-V</t>
        </is>
      </c>
      <c r="D20" s="7" t="n">
        <v>4</v>
      </c>
      <c r="E20" s="8" t="n">
        <v>4.5</v>
      </c>
      <c r="F20" s="8">
        <f>D20*E20</f>
        <v/>
      </c>
      <c r="G20" s="7" t="inlineStr">
        <is>
          <t>DigiKey</t>
        </is>
      </c>
      <c r="H20" s="7" t="inlineStr">
        <is>
          <t>estimate</t>
        </is>
      </c>
    </row>
    <row r="21">
      <c r="A21" s="7" t="inlineStr">
        <is>
          <t>Connectors</t>
        </is>
      </c>
      <c r="B21" s="7" t="inlineStr">
        <is>
          <t>Main XLR out</t>
        </is>
      </c>
      <c r="C21" s="7" t="inlineStr">
        <is>
          <t>Neutrik NC3MAAV</t>
        </is>
      </c>
      <c r="D21" s="7" t="n">
        <v>2</v>
      </c>
      <c r="E21" s="8" t="n">
        <v>3.5</v>
      </c>
      <c r="F21" s="8">
        <f>D21*E21</f>
        <v/>
      </c>
      <c r="G21" s="7" t="inlineStr">
        <is>
          <t>DigiKey</t>
        </is>
      </c>
      <c r="H21" s="7" t="inlineStr">
        <is>
          <t>estimate</t>
        </is>
      </c>
    </row>
    <row r="22">
      <c r="A22" s="7" t="inlineStr">
        <is>
          <t>Connectors</t>
        </is>
      </c>
      <c r="B22" s="7" t="inlineStr">
        <is>
          <t>1/4" jacks, master</t>
        </is>
      </c>
      <c r="C22" s="7" t="inlineStr">
        <is>
          <t>Neutrik NJ3FD-V</t>
        </is>
      </c>
      <c r="D22" s="7" t="n">
        <v>4</v>
      </c>
      <c r="E22" s="8" t="n">
        <v>1.8</v>
      </c>
      <c r="F22" s="8">
        <f>D22*E22</f>
        <v/>
      </c>
      <c r="G22" s="7" t="inlineStr">
        <is>
          <t>DigiKey</t>
        </is>
      </c>
      <c r="H22" s="7" t="inlineStr">
        <is>
          <t>estimate</t>
        </is>
      </c>
    </row>
    <row r="23">
      <c r="A23" t="inlineStr">
        <is>
          <t>Connectors</t>
        </is>
      </c>
      <c r="B23" t="inlineStr">
        <is>
          <t>1/4" jacks, stereo line strip</t>
        </is>
      </c>
      <c r="C23" t="inlineStr">
        <is>
          <t>Neutrik NJ5FD-V (USB-return strip has none)</t>
        </is>
      </c>
      <c r="D23" t="n">
        <v>2</v>
      </c>
      <c r="E23" s="6" t="n">
        <v>1.63</v>
      </c>
      <c r="F23" s="6">
        <f>D23*E23</f>
        <v/>
      </c>
      <c r="G23" t="inlineStr">
        <is>
          <t>DigiKey</t>
        </is>
      </c>
      <c r="H23" t="inlineStr">
        <is>
          <t>live</t>
        </is>
      </c>
    </row>
    <row r="24">
      <c r="A24" s="7" t="inlineStr">
        <is>
          <t>Connectors</t>
        </is>
      </c>
      <c r="B24" s="7" t="inlineStr">
        <is>
          <t>3.5 mm jacks</t>
        </is>
      </c>
      <c r="C24" s="7" t="inlineStr">
        <is>
          <t>Thonkiconn PJ366ST (master + stereo line)</t>
        </is>
      </c>
      <c r="D24" s="7" t="n">
        <v>2</v>
      </c>
      <c r="E24" s="8" t="n">
        <v>0.5</v>
      </c>
      <c r="F24" s="8">
        <f>D24*E24</f>
        <v/>
      </c>
      <c r="G24" s="7" t="inlineStr">
        <is>
          <t>Thonk</t>
        </is>
      </c>
      <c r="H24" s="7" t="inlineStr">
        <is>
          <t>estimate</t>
        </is>
      </c>
    </row>
    <row r="25">
      <c r="A25" s="7" t="inlineStr">
        <is>
          <t>Connectors</t>
        </is>
      </c>
      <c r="B25" s="7" t="inlineStr">
        <is>
          <t>Shrouded 2x5 headers</t>
        </is>
      </c>
      <c r="C25" s="7" t="inlineStr">
        <is>
          <t>Wurth 61201021621</t>
        </is>
      </c>
      <c r="D25" s="7" t="n">
        <v>17</v>
      </c>
      <c r="E25" s="8" t="n">
        <v>0.45</v>
      </c>
      <c r="F25" s="8">
        <f>D25*E25</f>
        <v/>
      </c>
      <c r="G25" s="7" t="inlineStr">
        <is>
          <t>Mouser</t>
        </is>
      </c>
      <c r="H25" s="7" t="inlineStr">
        <is>
          <t>estimate</t>
        </is>
      </c>
    </row>
    <row r="26">
      <c r="A26" s="7" t="inlineStr">
        <is>
          <t>Connectors</t>
        </is>
      </c>
      <c r="B26" s="7" t="inlineStr">
        <is>
          <t>Ribbon cable + IDC plugs</t>
        </is>
      </c>
      <c r="C26" s="7" t="inlineStr">
        <is>
          <t>2x5 IDC sockets x17 + 1 m 10-way ribbon</t>
        </is>
      </c>
      <c r="D26" s="7" t="n">
        <v>1</v>
      </c>
      <c r="E26" s="8" t="n">
        <v>7</v>
      </c>
      <c r="F26" s="8">
        <f>D26*E26</f>
        <v/>
      </c>
      <c r="G26" s="7" t="inlineStr">
        <is>
          <t>Tayda</t>
        </is>
      </c>
      <c r="H26" s="7" t="inlineStr">
        <is>
          <t>estimate</t>
        </is>
      </c>
    </row>
    <row r="27">
      <c r="A27" s="7" t="inlineStr">
        <is>
          <t>Connectors</t>
        </is>
      </c>
      <c r="B27" s="7" t="inlineStr">
        <is>
          <t>Digital board jacks</t>
        </is>
      </c>
      <c r="C27" s="7" t="inlineStr">
        <is>
          <t>USB-B, USB-C (GCT), USB-A, 2x DIN-5</t>
        </is>
      </c>
      <c r="D27" s="7" t="n">
        <v>1</v>
      </c>
      <c r="E27" s="8" t="n">
        <v>5</v>
      </c>
      <c r="F27" s="8">
        <f>D27*E27</f>
        <v/>
      </c>
      <c r="G27" s="7" t="inlineStr">
        <is>
          <t>DigiKey</t>
        </is>
      </c>
      <c r="H27" s="7" t="inlineStr">
        <is>
          <t>estimate</t>
        </is>
      </c>
    </row>
    <row r="28">
      <c r="A28" s="7" t="inlineStr">
        <is>
          <t>Connectors</t>
        </is>
      </c>
      <c r="B28" s="7" t="inlineStr">
        <is>
          <t>Rear DC jack + pigtail</t>
        </is>
      </c>
      <c r="C28" s="7" t="inlineStr">
        <is>
          <t>Panel 2.1 mm jack, short 2.1 mm plug lead</t>
        </is>
      </c>
      <c r="D28" s="7" t="n">
        <v>1</v>
      </c>
      <c r="E28" s="8" t="n">
        <v>3</v>
      </c>
      <c r="F28" s="8">
        <f>D28*E28</f>
        <v/>
      </c>
      <c r="G28" s="7" t="inlineStr">
        <is>
          <t>AliExpress</t>
        </is>
      </c>
      <c r="H28" s="7" t="inlineStr">
        <is>
          <t>estimate</t>
        </is>
      </c>
    </row>
    <row r="29">
      <c r="A29" s="7" t="inlineStr">
        <is>
          <t>Passives</t>
        </is>
      </c>
      <c r="B29" s="7" t="inlineStr">
        <is>
          <t>Resistors</t>
        </is>
      </c>
      <c r="C29" s="7" t="inlineStr">
        <is>
          <t>~320 metal film incl. 8x 0.1% 6.81k</t>
        </is>
      </c>
      <c r="D29" s="7" t="n">
        <v>1</v>
      </c>
      <c r="E29" s="8" t="n">
        <v>15</v>
      </c>
      <c r="F29" s="8">
        <f>D29*E29</f>
        <v/>
      </c>
      <c r="G29" s="7" t="inlineStr">
        <is>
          <t>Tayda</t>
        </is>
      </c>
      <c r="H29" s="7" t="inlineStr">
        <is>
          <t>estimate</t>
        </is>
      </c>
    </row>
    <row r="30">
      <c r="A30" s="7" t="inlineStr">
        <is>
          <t>Passives</t>
        </is>
      </c>
      <c r="B30" s="7" t="inlineStr">
        <is>
          <t>Capacitors</t>
        </is>
      </c>
      <c r="C30" s="7" t="inlineStr">
        <is>
          <t>Films, ceramics, 7 mm low-profile electrolytics</t>
        </is>
      </c>
      <c r="D30" s="7" t="n">
        <v>1</v>
      </c>
      <c r="E30" s="8" t="n">
        <v>30</v>
      </c>
      <c r="F30" s="8">
        <f>D30*E30</f>
        <v/>
      </c>
      <c r="G30" s="7" t="inlineStr">
        <is>
          <t>Tayda / DigiKey</t>
        </is>
      </c>
      <c r="H30" s="7" t="inlineStr">
        <is>
          <t>estimate</t>
        </is>
      </c>
    </row>
    <row r="31">
      <c r="A31" s="7" t="inlineStr">
        <is>
          <t>Passives</t>
        </is>
      </c>
      <c r="B31" s="7" t="inlineStr">
        <is>
          <t>LEDs, diodes, DIP switch, headers</t>
        </is>
      </c>
      <c r="C31" s="7" t="inlineStr">
        <is>
          <t>3 mm LEDs, 1N4004/4148/5817, pin headers</t>
        </is>
      </c>
      <c r="D31" s="7" t="n">
        <v>1</v>
      </c>
      <c r="E31" s="8" t="n">
        <v>5</v>
      </c>
      <c r="F31" s="8">
        <f>D31*E31</f>
        <v/>
      </c>
      <c r="G31" s="7" t="inlineStr">
        <is>
          <t>Tayda</t>
        </is>
      </c>
      <c r="H31" s="7" t="inlineStr">
        <is>
          <t>estimate</t>
        </is>
      </c>
    </row>
    <row r="32">
      <c r="A32" t="inlineStr">
        <is>
          <t>Power</t>
        </is>
      </c>
      <c r="B32" t="inlineStr">
        <is>
          <t>AC-AC adapter</t>
        </is>
      </c>
      <c r="C32" t="inlineStr">
        <is>
          <t>Jameco ReliaPro ADU150150RV0650, 15 VAC 1.5 A</t>
        </is>
      </c>
      <c r="D32" t="n">
        <v>1</v>
      </c>
      <c r="E32" s="6" t="n">
        <v>10.95</v>
      </c>
      <c r="F32" s="6">
        <f>D32*E32</f>
        <v/>
      </c>
      <c r="G32" t="inlineStr">
        <is>
          <t>Jameco</t>
        </is>
      </c>
      <c r="H32" t="inlineStr">
        <is>
          <t>live</t>
        </is>
      </c>
    </row>
    <row r="33">
      <c r="A33" s="7" t="inlineStr">
        <is>
          <t>Power</t>
        </is>
      </c>
      <c r="B33" s="7" t="inlineStr">
        <is>
          <t>Big caps</t>
        </is>
      </c>
      <c r="C33" s="7" t="inlineStr">
        <is>
          <t>6800uF 35V snap-in x2, 1000uF 63V x4</t>
        </is>
      </c>
      <c r="D33" s="7" t="n">
        <v>1</v>
      </c>
      <c r="E33" s="8" t="n">
        <v>11</v>
      </c>
      <c r="F33" s="8">
        <f>D33*E33</f>
        <v/>
      </c>
      <c r="G33" s="7" t="inlineStr">
        <is>
          <t>DigiKey</t>
        </is>
      </c>
      <c r="H33" s="7" t="inlineStr">
        <is>
          <t>estimate</t>
        </is>
      </c>
    </row>
    <row r="34">
      <c r="A34" s="7" t="inlineStr">
        <is>
          <t>Power</t>
        </is>
      </c>
      <c r="B34" s="7" t="inlineStr">
        <is>
          <t>Regulators, heatsinks, fuse, rest</t>
        </is>
      </c>
      <c r="C34" s="7" t="inlineStr">
        <is>
          <t>7812/7912, 2x Fischer SK104, MJE340, fuse + holder, barrel jack, insulator kit</t>
        </is>
      </c>
      <c r="D34" s="7" t="n">
        <v>1</v>
      </c>
      <c r="E34" s="8" t="n">
        <v>9</v>
      </c>
      <c r="F34" s="8">
        <f>D34*E34</f>
        <v/>
      </c>
      <c r="G34" s="7" t="inlineStr">
        <is>
          <t>DigiKey</t>
        </is>
      </c>
      <c r="H34" s="7" t="inlineStr">
        <is>
          <t>estimate</t>
        </is>
      </c>
    </row>
    <row r="35">
      <c r="A35" t="inlineStr">
        <is>
          <t>Modules</t>
        </is>
      </c>
      <c r="B35" t="inlineStr">
        <is>
          <t>Reverb module</t>
        </is>
      </c>
      <c r="C35" t="inlineStr">
        <is>
          <t>Akizuki AE-FV1-DIP, JPY 2,780 at ~150 JPY/USD</t>
        </is>
      </c>
      <c r="D35" t="n">
        <v>1</v>
      </c>
      <c r="E35" s="6" t="n">
        <v>18.5</v>
      </c>
      <c r="F35" s="6">
        <f>D35*E35</f>
        <v/>
      </c>
      <c r="G35" t="inlineStr">
        <is>
          <t>Akizuki</t>
        </is>
      </c>
      <c r="H35" t="inlineStr">
        <is>
          <t>live</t>
        </is>
      </c>
    </row>
    <row r="36">
      <c r="A36" s="7" t="inlineStr">
        <is>
          <t>Modules</t>
        </is>
      </c>
      <c r="B36" s="7" t="inlineStr">
        <is>
          <t>Proxy + Japan shipping</t>
        </is>
      </c>
      <c r="C36" s="7" t="inlineStr">
        <is>
          <t>ZenMarket fee + EMS/small packet to US</t>
        </is>
      </c>
      <c r="D36" s="7" t="n">
        <v>1</v>
      </c>
      <c r="E36" s="8" t="n">
        <v>25</v>
      </c>
      <c r="F36" s="8">
        <f>D36*E36</f>
        <v/>
      </c>
      <c r="G36" s="7" t="inlineStr">
        <is>
          <t>ZenMarket</t>
        </is>
      </c>
      <c r="H36" s="7" t="inlineStr">
        <is>
          <t>estimate</t>
        </is>
      </c>
    </row>
    <row r="37">
      <c r="A37" s="7" t="inlineStr">
        <is>
          <t>Modules</t>
        </is>
      </c>
      <c r="B37" s="7" t="inlineStr">
        <is>
          <t>USB hub module</t>
        </is>
      </c>
      <c r="C37" s="7" t="inlineStr">
        <is>
          <t>FE1.1s (Amazon JESSINIE)</t>
        </is>
      </c>
      <c r="D37" s="7" t="n">
        <v>1</v>
      </c>
      <c r="E37" s="8" t="n">
        <v>8</v>
      </c>
      <c r="F37" s="8">
        <f>D37*E37</f>
        <v/>
      </c>
      <c r="G37" s="7" t="inlineStr">
        <is>
          <t>Amazon</t>
        </is>
      </c>
      <c r="H37" s="7" t="inlineStr">
        <is>
          <t>estimate</t>
        </is>
      </c>
    </row>
    <row r="38">
      <c r="A38" s="7" t="inlineStr">
        <is>
          <t>Modules</t>
        </is>
      </c>
      <c r="B38" s="7" t="inlineStr">
        <is>
          <t>USB audio module</t>
        </is>
      </c>
      <c r="C38" s="7" t="inlineStr">
        <is>
          <t>PCM2902 module</t>
        </is>
      </c>
      <c r="D38" s="7" t="n">
        <v>1</v>
      </c>
      <c r="E38" s="8" t="n">
        <v>8</v>
      </c>
      <c r="F38" s="8">
        <f>D38*E38</f>
        <v/>
      </c>
      <c r="G38" s="7" t="inlineStr">
        <is>
          <t>AliExpress</t>
        </is>
      </c>
      <c r="H38" s="7" t="inlineStr">
        <is>
          <t>estimate</t>
        </is>
      </c>
    </row>
    <row r="39">
      <c r="A39" s="7" t="inlineStr">
        <is>
          <t>PCBs</t>
        </is>
      </c>
      <c r="B39" s="7" t="inlineStr">
        <is>
          <t>Mono strip 30x343 mm</t>
        </is>
      </c>
      <c r="C39" s="7" t="inlineStr">
        <is>
          <t>5 pcs (4 used)</t>
        </is>
      </c>
      <c r="D39" s="7" t="n">
        <v>1</v>
      </c>
      <c r="E39" s="8" t="n">
        <v>18</v>
      </c>
      <c r="F39" s="8">
        <f>D39*E39</f>
        <v/>
      </c>
      <c r="G39" s="7" t="inlineStr">
        <is>
          <t>JLCPCB</t>
        </is>
      </c>
      <c r="H39" s="7" t="inlineStr">
        <is>
          <t>estimate</t>
        </is>
      </c>
    </row>
    <row r="40">
      <c r="A40" s="7" t="inlineStr">
        <is>
          <t>PCBs</t>
        </is>
      </c>
      <c r="B40" s="7" t="inlineStr">
        <is>
          <t>Stereo strip 30x343 mm</t>
        </is>
      </c>
      <c r="C40" s="7" t="inlineStr">
        <is>
          <t>5 pcs (2 used)</t>
        </is>
      </c>
      <c r="D40" s="7" t="n">
        <v>1</v>
      </c>
      <c r="E40" s="8" t="n">
        <v>18</v>
      </c>
      <c r="F40" s="8">
        <f>D40*E40</f>
        <v/>
      </c>
      <c r="G40" s="7" t="inlineStr">
        <is>
          <t>JLCPCB</t>
        </is>
      </c>
      <c r="H40" s="7" t="inlineStr">
        <is>
          <t>estimate</t>
        </is>
      </c>
    </row>
    <row r="41">
      <c r="A41" s="7" t="inlineStr">
        <is>
          <t>PCBs</t>
        </is>
      </c>
      <c r="B41" s="7" t="inlineStr">
        <is>
          <t>Master 60x343 mm</t>
        </is>
      </c>
      <c r="C41" s="7" t="inlineStr">
        <is>
          <t>5 pcs (1 used)</t>
        </is>
      </c>
      <c r="D41" s="7" t="n">
        <v>1</v>
      </c>
      <c r="E41" s="8" t="n">
        <v>30</v>
      </c>
      <c r="F41" s="8">
        <f>D41*E41</f>
        <v/>
      </c>
      <c r="G41" s="7" t="inlineStr">
        <is>
          <t>JLCPCB</t>
        </is>
      </c>
      <c r="H41" s="7" t="inlineStr">
        <is>
          <t>estimate</t>
        </is>
      </c>
    </row>
    <row r="42">
      <c r="A42" s="7" t="inlineStr">
        <is>
          <t>PCBs</t>
        </is>
      </c>
      <c r="B42" s="7" t="inlineStr">
        <is>
          <t>Power, digital, reverb, controller</t>
        </is>
      </c>
      <c r="C42" s="7" t="inlineStr">
        <is>
          <t>4 small boards, 5 pcs each</t>
        </is>
      </c>
      <c r="D42" s="7" t="n">
        <v>1</v>
      </c>
      <c r="E42" s="8" t="n">
        <v>10</v>
      </c>
      <c r="F42" s="8">
        <f>D42*E42</f>
        <v/>
      </c>
      <c r="G42" s="7" t="inlineStr">
        <is>
          <t>JLCPCB</t>
        </is>
      </c>
      <c r="H42" s="7" t="inlineStr">
        <is>
          <t>estimate</t>
        </is>
      </c>
    </row>
    <row r="43">
      <c r="A43" s="7" t="inlineStr">
        <is>
          <t>PCBs</t>
        </is>
      </c>
      <c r="B43" s="7" t="inlineStr">
        <is>
          <t>Shipping + import duty</t>
        </is>
      </c>
      <c r="C43" s="7" t="inlineStr">
        <is>
          <t>DHL to US, ~1.5 kg</t>
        </is>
      </c>
      <c r="D43" s="7" t="n">
        <v>1</v>
      </c>
      <c r="E43" s="8" t="n">
        <v>45</v>
      </c>
      <c r="F43" s="8">
        <f>D43*E43</f>
        <v/>
      </c>
      <c r="G43" s="7" t="inlineStr">
        <is>
          <t>JLCPCB</t>
        </is>
      </c>
      <c r="H43" s="7" t="inlineStr">
        <is>
          <t>estimate</t>
        </is>
      </c>
    </row>
    <row r="44">
      <c r="A44" s="7" t="inlineStr">
        <is>
          <t>Case</t>
        </is>
      </c>
      <c r="B44" s="7" t="inlineStr">
        <is>
          <t>Printed top (control plate + jack shelf)</t>
        </is>
      </c>
      <c r="C44" s="7" t="inlineStr">
        <is>
          <t>Omer chose printed over aluminium 2026-10-27; PLA ~0.45 kg, split into bed-size tiles</t>
        </is>
      </c>
      <c r="D44" s="7" t="n">
        <v>1</v>
      </c>
      <c r="E44" s="8" t="n">
        <v>0</v>
      </c>
      <c r="F44" s="8">
        <f>D44*E44</f>
        <v/>
      </c>
      <c r="G44" s="7" t="inlineStr">
        <is>
          <t>-</t>
        </is>
      </c>
      <c r="H44" s="7" t="inlineStr">
        <is>
          <t>estimate</t>
        </is>
      </c>
    </row>
    <row r="45">
      <c r="A45" s="7" t="inlineStr">
        <is>
          <t>Case</t>
        </is>
      </c>
      <c r="B45" s="7" t="inlineStr">
        <is>
          <t>Filament</t>
        </is>
      </c>
      <c r="C45" s="7" t="inlineStr">
        <is>
          <t>PLA 2 spools: case ~0.8 kg + printed top ~0.45 kg + spare</t>
        </is>
      </c>
      <c r="D45" s="7" t="n">
        <v>2</v>
      </c>
      <c r="E45" s="8" t="n">
        <v>18</v>
      </c>
      <c r="F45" s="8">
        <f>D45*E45</f>
        <v/>
      </c>
      <c r="G45" s="7" t="inlineStr">
        <is>
          <t>Amazon</t>
        </is>
      </c>
      <c r="H45" s="7" t="inlineStr">
        <is>
          <t>estimate</t>
        </is>
      </c>
    </row>
    <row r="46">
      <c r="A46" s="7" t="inlineStr">
        <is>
          <t>Case</t>
        </is>
      </c>
      <c r="B46" s="7" t="inlineStr">
        <is>
          <t>Hardware</t>
        </is>
      </c>
      <c r="C46" s="7" t="inlineStr">
        <is>
          <t>M3 F-F standoffs 10.5/7.5 mm, M3x10 countersunk, M2x8 + 4 mm spacers, seam bolts</t>
        </is>
      </c>
      <c r="D46" s="7" t="n">
        <v>1</v>
      </c>
      <c r="E46" s="8" t="n">
        <v>15</v>
      </c>
      <c r="F46" s="8">
        <f>D46*E46</f>
        <v/>
      </c>
      <c r="G46" s="7" t="inlineStr">
        <is>
          <t>Amazon</t>
        </is>
      </c>
      <c r="H46" s="7" t="inlineStr">
        <is>
          <t>estimate</t>
        </is>
      </c>
    </row>
    <row r="47">
      <c r="A47" s="9" t="inlineStr">
        <is>
          <t>Case</t>
        </is>
      </c>
      <c r="B47" s="9" t="inlineStr">
        <is>
          <t>M3 screws + heat-set inserts</t>
        </is>
      </c>
      <c r="C47" s="9" t="inlineStr">
        <is>
          <t>Already bought for the controller</t>
        </is>
      </c>
      <c r="D47" s="9" t="n">
        <v>1</v>
      </c>
      <c r="E47" s="10" t="n">
        <v>0</v>
      </c>
      <c r="F47" s="10">
        <f>D47*E47</f>
        <v/>
      </c>
      <c r="G47" s="9" t="inlineStr">
        <is>
          <t>-</t>
        </is>
      </c>
      <c r="H47" s="9" t="inlineStr">
        <is>
          <t>owned</t>
        </is>
      </c>
    </row>
    <row r="48">
      <c r="A48" s="7" t="inlineStr">
        <is>
          <t>Knobs</t>
        </is>
      </c>
      <c r="B48" s="7" t="inlineStr">
        <is>
          <t>Pot knobs</t>
        </is>
      </c>
      <c r="C48" s="7" t="inlineStr">
        <is>
          <t>41 knobs, 6.35 mm round shaft</t>
        </is>
      </c>
      <c r="D48" s="7" t="n">
        <v>41</v>
      </c>
      <c r="E48" s="8" t="n">
        <v>0.6</v>
      </c>
      <c r="F48" s="8">
        <f>D48*E48</f>
        <v/>
      </c>
      <c r="G48" s="7" t="inlineStr">
        <is>
          <t>Tayda</t>
        </is>
      </c>
      <c r="H48" s="7" t="inlineStr">
        <is>
          <t>estimate</t>
        </is>
      </c>
    </row>
    <row r="49">
      <c r="A49" s="7" t="inlineStr">
        <is>
          <t>Knobs</t>
        </is>
      </c>
      <c r="B49" s="7" t="inlineStr">
        <is>
          <t>Fader caps</t>
        </is>
      </c>
      <c r="C49" s="7" t="inlineStr">
        <is>
          <t>7 caps for PTA 15 mm metal lever</t>
        </is>
      </c>
      <c r="D49" s="7" t="n">
        <v>7</v>
      </c>
      <c r="E49" s="8" t="n">
        <v>1</v>
      </c>
      <c r="F49" s="8">
        <f>D49*E49</f>
        <v/>
      </c>
      <c r="G49" s="7" t="inlineStr">
        <is>
          <t>AliExpress</t>
        </is>
      </c>
      <c r="H49" s="7" t="inlineStr">
        <is>
          <t>estimate</t>
        </is>
      </c>
    </row>
    <row r="50">
      <c r="A50" s="7" t="inlineStr">
        <is>
          <t>Knobs</t>
        </is>
      </c>
      <c r="B50" s="7" t="inlineStr">
        <is>
          <t>Controller knobs</t>
        </is>
      </c>
      <c r="C50" s="7" t="inlineStr">
        <is>
          <t>4 fader caps + 4 encoder knobs</t>
        </is>
      </c>
      <c r="D50" s="7" t="n">
        <v>1</v>
      </c>
      <c r="E50" s="8" t="n">
        <v>8</v>
      </c>
      <c r="F50" s="8">
        <f>D50*E50</f>
        <v/>
      </c>
      <c r="G50" s="7" t="inlineStr">
        <is>
          <t>AliExpress</t>
        </is>
      </c>
      <c r="H50" s="7" t="inlineStr">
        <is>
          <t>estimate</t>
        </is>
      </c>
    </row>
    <row r="51">
      <c r="A51" s="9" t="inlineStr">
        <is>
          <t>Controller</t>
        </is>
      </c>
      <c r="B51" s="9" t="inlineStr">
        <is>
          <t>ESP32-S3 devkit, 2.8" TFT, 45 mm faders, EC11s, buttons, LEDs, resistors</t>
        </is>
      </c>
      <c r="C51" s="9" t="inlineStr">
        <is>
          <t>Already bought</t>
        </is>
      </c>
      <c r="D51" s="9" t="n">
        <v>1</v>
      </c>
      <c r="E51" s="10" t="n">
        <v>0</v>
      </c>
      <c r="F51" s="10">
        <f>D51*E51</f>
        <v/>
      </c>
      <c r="G51" s="9" t="inlineStr">
        <is>
          <t>-</t>
        </is>
      </c>
      <c r="H51" s="9" t="inlineStr">
        <is>
          <t>owned</t>
        </is>
      </c>
    </row>
    <row r="52">
      <c r="A52" s="7" t="inlineStr">
        <is>
          <t>Controller</t>
        </is>
      </c>
      <c r="B52" s="7" t="inlineStr">
        <is>
          <t>Headers</t>
        </is>
      </c>
      <c r="C52" s="7" t="inlineStr">
        <is>
          <t>Female 2.54 mm strips</t>
        </is>
      </c>
      <c r="D52" s="7" t="n">
        <v>1</v>
      </c>
      <c r="E52" s="8" t="n">
        <v>2</v>
      </c>
      <c r="F52" s="8">
        <f>D52*E52</f>
        <v/>
      </c>
      <c r="G52" s="7" t="inlineStr">
        <is>
          <t>AliExpress</t>
        </is>
      </c>
      <c r="H52" s="7" t="inlineStr">
        <is>
          <t>estimate</t>
        </is>
      </c>
    </row>
    <row r="53">
      <c r="A53" s="7" t="inlineStr">
        <is>
          <t>Shipping</t>
        </is>
      </c>
      <c r="B53" s="7" t="inlineStr">
        <is>
          <t>DigiKey / Mouser</t>
        </is>
      </c>
      <c r="C53" s="7" t="inlineStr">
        <is>
          <t>Free over the order threshold</t>
        </is>
      </c>
      <c r="D53" s="7" t="n">
        <v>1</v>
      </c>
      <c r="E53" s="8" t="n">
        <v>0</v>
      </c>
      <c r="F53" s="8">
        <f>D53*E53</f>
        <v/>
      </c>
      <c r="G53" s="7" t="inlineStr">
        <is>
          <t>DigiKey</t>
        </is>
      </c>
      <c r="H53" s="7" t="inlineStr">
        <is>
          <t>estimate</t>
        </is>
      </c>
    </row>
    <row r="54">
      <c r="A54" s="7" t="inlineStr">
        <is>
          <t>Shipping</t>
        </is>
      </c>
      <c r="B54" s="7" t="inlineStr">
        <is>
          <t>Tayda</t>
        </is>
      </c>
      <c r="C54" s="7" t="inlineStr">
        <is>
          <t>To US</t>
        </is>
      </c>
      <c r="D54" s="7" t="n">
        <v>1</v>
      </c>
      <c r="E54" s="8" t="n">
        <v>6</v>
      </c>
      <c r="F54" s="8">
        <f>D54*E54</f>
        <v/>
      </c>
      <c r="G54" s="7" t="inlineStr">
        <is>
          <t>Tayda</t>
        </is>
      </c>
      <c r="H54" s="7" t="inlineStr">
        <is>
          <t>estimate</t>
        </is>
      </c>
    </row>
    <row r="55">
      <c r="A55" s="7" t="inlineStr">
        <is>
          <t>Shipping</t>
        </is>
      </c>
      <c r="B55" s="7" t="inlineStr">
        <is>
          <t>Jameco</t>
        </is>
      </c>
      <c r="C55" s="7" t="inlineStr">
        <is>
          <t>Ground</t>
        </is>
      </c>
      <c r="D55" s="7" t="n">
        <v>1</v>
      </c>
      <c r="E55" s="8" t="n">
        <v>9</v>
      </c>
      <c r="F55" s="8">
        <f>D55*E55</f>
        <v/>
      </c>
      <c r="G55" s="7" t="inlineStr">
        <is>
          <t>Jameco</t>
        </is>
      </c>
      <c r="H55" s="7" t="inlineStr">
        <is>
          <t>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2026-10-27T06:13:48Z</dcterms:created>
  <dcterms:modified xmlns:dcterms="http://purl.org/dc/terms/" xmlns:xsi="http://www.w3.org/2001/XMLSchema-instance" xsi:type="dcterms:W3CDTF">2026-10-27T06:13:48Z</dcterms:modified>
</cp:coreProperties>
</file>